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gashira/Downloads/"/>
    </mc:Choice>
  </mc:AlternateContent>
  <xr:revisionPtr revIDLastSave="0" documentId="13_ncr:9_{8852E15C-7720-CC4D-9EC5-6BAE79469BC0}" xr6:coauthVersionLast="47" xr6:coauthVersionMax="47" xr10:uidLastSave="{00000000-0000-0000-0000-000000000000}"/>
  <bookViews>
    <workbookView xWindow="0" yWindow="720" windowWidth="29400" windowHeight="18400" xr2:uid="{09C1BBCC-FFA1-8744-A512-A0C9A5886AB8}"/>
  </bookViews>
  <sheets>
    <sheet name="non_dsc_shutter_rg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T12" i="1" s="1"/>
  <c r="AS2" i="1"/>
  <c r="AT2" i="1" s="1"/>
  <c r="S9" i="1"/>
  <c r="T9" i="1" s="1"/>
  <c r="S6" i="1"/>
  <c r="T6" i="1" s="1"/>
  <c r="S3" i="1"/>
  <c r="T3" i="1" s="1"/>
  <c r="S10" i="1"/>
  <c r="T10" i="1" s="1"/>
  <c r="S7" i="1"/>
  <c r="T7" i="1" s="1"/>
  <c r="S4" i="1"/>
  <c r="T4" i="1" s="1"/>
  <c r="S11" i="1"/>
  <c r="T11" i="1" s="1"/>
  <c r="S8" i="1"/>
  <c r="T8" i="1" s="1"/>
  <c r="S5" i="1"/>
  <c r="T5" i="1" s="1"/>
  <c r="AS5" i="1"/>
  <c r="AT5" i="1" s="1"/>
  <c r="AS6" i="1"/>
  <c r="AT6" i="1" s="1"/>
  <c r="AS7" i="1"/>
  <c r="AT7" i="1" s="1"/>
  <c r="AS8" i="1"/>
  <c r="AT8" i="1" s="1"/>
  <c r="S2" i="1"/>
  <c r="T2" i="1" s="1"/>
</calcChain>
</file>

<file path=xl/sharedStrings.xml><?xml version="1.0" encoding="utf-8"?>
<sst xmlns="http://schemas.openxmlformats.org/spreadsheetml/2006/main" count="49" uniqueCount="45">
  <si>
    <t>Filename</t>
  </si>
  <si>
    <t>Filename ISO</t>
  </si>
  <si>
    <t>Filename Shutter</t>
  </si>
  <si>
    <t>Metadata ISO</t>
  </si>
  <si>
    <t>Metadata Shutter</t>
  </si>
  <si>
    <t>Shutter Seconds</t>
  </si>
  <si>
    <t>Row</t>
  </si>
  <si>
    <t>Col</t>
  </si>
  <si>
    <t>Raw R</t>
  </si>
  <si>
    <t>Raw G</t>
  </si>
  <si>
    <t>Raw B</t>
  </si>
  <si>
    <t>Raw Luminance</t>
  </si>
  <si>
    <t>R</t>
  </si>
  <si>
    <t>G</t>
  </si>
  <si>
    <t>B</t>
  </si>
  <si>
    <t>Luminance</t>
  </si>
  <si>
    <t>100-1.0-16.NEF</t>
  </si>
  <si>
    <t>1.0 sec</t>
  </si>
  <si>
    <t>100-10-5.0.NEF</t>
  </si>
  <si>
    <t>1/10.0 sec</t>
  </si>
  <si>
    <t>100-1000-1.8.NEF</t>
  </si>
  <si>
    <t>1/1000.0 sec</t>
  </si>
  <si>
    <t>100-125-1.8.NEF</t>
  </si>
  <si>
    <t>1/125.0 sec</t>
  </si>
  <si>
    <t>100-15-4.5.NEF</t>
  </si>
  <si>
    <t>1/15.0 sec</t>
  </si>
  <si>
    <t>100-2.0-11.NEF</t>
  </si>
  <si>
    <t>1/2.0 sec</t>
  </si>
  <si>
    <t>100-250-1.8.NEF</t>
  </si>
  <si>
    <t>1/250.0 sec</t>
  </si>
  <si>
    <t>100-30-3.2.NEF</t>
  </si>
  <si>
    <t>1/30.0 sec</t>
  </si>
  <si>
    <t>100-4.0-8.0.NEF</t>
  </si>
  <si>
    <t>1/4.0 sec</t>
  </si>
  <si>
    <t>100-500-1.8.NEF</t>
  </si>
  <si>
    <t>1/500.0 sec</t>
  </si>
  <si>
    <t>100-60-2.2.NEF</t>
  </si>
  <si>
    <t>1/60.0 sec</t>
  </si>
  <si>
    <t>100-8-6.3.NEF</t>
  </si>
  <si>
    <t>1/8.0 sec</t>
  </si>
  <si>
    <t>1600-6.0-8.0.NEF</t>
  </si>
  <si>
    <t>200-60-2.8.NEF</t>
  </si>
  <si>
    <t>400-60-8.0.NEF</t>
  </si>
  <si>
    <t>800-60-5.6.NEF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</si>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</sst>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E46D-02CC-FE4E-AA47-CC2339E49A95}">
  <dimension ref="A1:AW12"/>
  <sheetViews>
    <sheetView tabSelected="1" topLeftCell="J1" zoomScale="89" workbookViewId="0">
      <selection activeCell="AA17" sqref="AA17"/>
    </sheetView>
  </sheetViews>
  <sheetFormatPr baseColWidth="10" defaultRowHeight="16" x14ac:dyDescent="0.2"/>
  <cols>
    <col min="1" max="1" width="16" customWidth="1"/>
  </cols>
  <sheetData>
    <row r="1" spans="1:49" x14ac:dyDescent="0.2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49" x14ac:dyDescent="0.2">
      <c r="A2" t="s">
        <v>16</v>
      </c>
      <c r="B2">
        <v>100</v>
      </c>
      <c r="C2">
        <v>16</v>
      </c>
      <c r="D2">
        <v>1</v>
      </c>
      <c r="E2">
        <v>100</v>
      </c>
      <c r="F2" t="s">
        <v>17</v>
      </c>
      <c r="G2">
        <v>1</v>
      </c>
      <c r="H2">
        <v>3991</v>
      </c>
      <c r="I2">
        <v>5520</v>
      </c>
      <c r="J2">
        <v>10970</v>
      </c>
      <c r="K2">
        <v>8748</v>
      </c>
      <c r="L2">
        <v>5939</v>
      </c>
      <c r="M2">
        <v>9092.152</v>
      </c>
      <c r="N2">
        <v>190</v>
      </c>
      <c r="O2">
        <v>162</v>
      </c>
      <c r="P2">
        <v>111</v>
      </c>
      <c r="Q2">
        <v>164.55799999999999</v>
      </c>
      <c r="S2">
        <f>$AC$3^2/C2^2</f>
        <v>1</v>
      </c>
      <c r="T2">
        <f>M2/S2</f>
        <v>9092.152</v>
      </c>
      <c r="V2">
        <v>1</v>
      </c>
      <c r="W2">
        <v>9092.152</v>
      </c>
      <c r="AA2" t="s">
        <v>18</v>
      </c>
      <c r="AB2">
        <v>100</v>
      </c>
      <c r="AC2">
        <v>5</v>
      </c>
      <c r="AD2">
        <v>10</v>
      </c>
      <c r="AE2">
        <v>100</v>
      </c>
      <c r="AF2" t="s">
        <v>19</v>
      </c>
      <c r="AG2">
        <v>0.1</v>
      </c>
      <c r="AH2">
        <v>3991</v>
      </c>
      <c r="AI2">
        <v>5520</v>
      </c>
      <c r="AJ2">
        <v>11901</v>
      </c>
      <c r="AK2">
        <v>9512</v>
      </c>
      <c r="AL2">
        <v>6489</v>
      </c>
      <c r="AM2">
        <v>9881.6890000000003</v>
      </c>
      <c r="AN2">
        <v>191</v>
      </c>
      <c r="AO2">
        <v>163</v>
      </c>
      <c r="AP2">
        <v>113</v>
      </c>
      <c r="AQ2">
        <v>165.672</v>
      </c>
      <c r="AS2">
        <f>$AC$3^2/AC2^2</f>
        <v>10.24</v>
      </c>
      <c r="AT2">
        <f t="shared" ref="AT2" si="0">AM2/AS2</f>
        <v>965.00869140625002</v>
      </c>
      <c r="AV2">
        <v>10</v>
      </c>
      <c r="AW2">
        <v>965.00869140625002</v>
      </c>
    </row>
    <row r="3" spans="1:49" x14ac:dyDescent="0.2">
      <c r="A3" t="s">
        <v>26</v>
      </c>
      <c r="B3">
        <v>100</v>
      </c>
      <c r="C3">
        <v>11</v>
      </c>
      <c r="D3">
        <v>2</v>
      </c>
      <c r="E3">
        <v>100</v>
      </c>
      <c r="F3" t="s">
        <v>27</v>
      </c>
      <c r="G3">
        <v>0.5</v>
      </c>
      <c r="H3">
        <v>3991</v>
      </c>
      <c r="I3">
        <v>5520</v>
      </c>
      <c r="J3">
        <v>11007</v>
      </c>
      <c r="K3">
        <v>9028</v>
      </c>
      <c r="L3">
        <v>6200</v>
      </c>
      <c r="M3">
        <v>9297.3289999999997</v>
      </c>
      <c r="N3">
        <v>191</v>
      </c>
      <c r="O3">
        <v>167</v>
      </c>
      <c r="P3">
        <v>116</v>
      </c>
      <c r="Q3">
        <v>168.36199999999999</v>
      </c>
      <c r="S3">
        <f>$AC$3^2/C3^2</f>
        <v>2.115702479338843</v>
      </c>
      <c r="T3">
        <f>M3/S3</f>
        <v>4394.4406601562496</v>
      </c>
      <c r="V3">
        <v>2</v>
      </c>
      <c r="W3">
        <v>4394.4406601562496</v>
      </c>
      <c r="AC3">
        <v>16</v>
      </c>
    </row>
    <row r="4" spans="1:49" x14ac:dyDescent="0.2">
      <c r="A4" t="s">
        <v>32</v>
      </c>
      <c r="B4">
        <v>100</v>
      </c>
      <c r="C4">
        <v>8</v>
      </c>
      <c r="D4">
        <v>4</v>
      </c>
      <c r="E4">
        <v>100</v>
      </c>
      <c r="F4" t="s">
        <v>33</v>
      </c>
      <c r="G4">
        <v>0.25</v>
      </c>
      <c r="H4">
        <v>3991</v>
      </c>
      <c r="I4">
        <v>5520</v>
      </c>
      <c r="J4">
        <v>11043</v>
      </c>
      <c r="K4">
        <v>8892</v>
      </c>
      <c r="L4">
        <v>6013</v>
      </c>
      <c r="M4">
        <v>9206.9429999999993</v>
      </c>
      <c r="N4">
        <v>188</v>
      </c>
      <c r="O4">
        <v>162</v>
      </c>
      <c r="P4">
        <v>110</v>
      </c>
      <c r="Q4">
        <v>163.846</v>
      </c>
      <c r="S4">
        <f>$AC$3^2/C4^2</f>
        <v>4</v>
      </c>
      <c r="T4">
        <f>M4/S4</f>
        <v>2301.7357499999998</v>
      </c>
      <c r="V4">
        <v>4</v>
      </c>
      <c r="W4">
        <v>2301.7357499999998</v>
      </c>
    </row>
    <row r="5" spans="1:49" x14ac:dyDescent="0.2">
      <c r="A5" t="s">
        <v>38</v>
      </c>
      <c r="B5">
        <v>100</v>
      </c>
      <c r="C5">
        <v>6.3</v>
      </c>
      <c r="D5">
        <v>8</v>
      </c>
      <c r="E5">
        <v>100</v>
      </c>
      <c r="F5" t="s">
        <v>39</v>
      </c>
      <c r="G5">
        <v>0.125</v>
      </c>
      <c r="H5">
        <v>3991</v>
      </c>
      <c r="I5">
        <v>5520</v>
      </c>
      <c r="J5">
        <v>8918</v>
      </c>
      <c r="K5">
        <v>7208</v>
      </c>
      <c r="L5">
        <v>4962</v>
      </c>
      <c r="M5">
        <v>7463.2460000000001</v>
      </c>
      <c r="N5">
        <v>191</v>
      </c>
      <c r="O5">
        <v>165</v>
      </c>
      <c r="P5">
        <v>114</v>
      </c>
      <c r="Q5">
        <v>166.96</v>
      </c>
      <c r="S5">
        <f>$AC$3^2/C5^2</f>
        <v>6.4499874023683548</v>
      </c>
      <c r="T5">
        <f>M5/S5</f>
        <v>1157.094663046875</v>
      </c>
      <c r="V5">
        <v>8</v>
      </c>
      <c r="W5">
        <v>1157.094663046875</v>
      </c>
      <c r="AA5" t="s">
        <v>40</v>
      </c>
      <c r="AB5">
        <v>1600</v>
      </c>
      <c r="AC5">
        <v>8</v>
      </c>
      <c r="AD5">
        <v>6</v>
      </c>
      <c r="AE5">
        <v>1600</v>
      </c>
      <c r="AF5" t="s">
        <v>37</v>
      </c>
      <c r="AG5">
        <v>1.6667000000000001E-2</v>
      </c>
      <c r="AH5">
        <v>3991</v>
      </c>
      <c r="AI5">
        <v>5520</v>
      </c>
      <c r="AJ5">
        <v>10381</v>
      </c>
      <c r="AK5">
        <v>8960</v>
      </c>
      <c r="AL5">
        <v>5314</v>
      </c>
      <c r="AM5">
        <v>8969.2350000000006</v>
      </c>
      <c r="AN5">
        <v>184</v>
      </c>
      <c r="AO5">
        <v>170</v>
      </c>
      <c r="AP5">
        <v>99</v>
      </c>
      <c r="AQ5">
        <v>166.09200000000001</v>
      </c>
      <c r="AS5">
        <f>$AC$3^2/AC5^2</f>
        <v>4</v>
      </c>
      <c r="AT5">
        <f>AM5/AS5</f>
        <v>2242.3087500000001</v>
      </c>
      <c r="AW5">
        <v>2242.3087500000001</v>
      </c>
    </row>
    <row r="6" spans="1:49" x14ac:dyDescent="0.2">
      <c r="A6" t="s">
        <v>24</v>
      </c>
      <c r="B6">
        <v>100</v>
      </c>
      <c r="C6">
        <v>4.5</v>
      </c>
      <c r="D6">
        <v>15</v>
      </c>
      <c r="E6">
        <v>100</v>
      </c>
      <c r="F6" t="s">
        <v>25</v>
      </c>
      <c r="G6">
        <v>6.6667000000000004E-2</v>
      </c>
      <c r="H6">
        <v>3991</v>
      </c>
      <c r="I6">
        <v>5520</v>
      </c>
      <c r="J6">
        <v>8520</v>
      </c>
      <c r="K6">
        <v>6952</v>
      </c>
      <c r="L6">
        <v>4679</v>
      </c>
      <c r="M6">
        <v>7161.71</v>
      </c>
      <c r="N6">
        <v>188</v>
      </c>
      <c r="O6">
        <v>164</v>
      </c>
      <c r="P6">
        <v>111</v>
      </c>
      <c r="Q6">
        <v>165.13399999999999</v>
      </c>
      <c r="S6">
        <f>$AC$3^2/C6^2</f>
        <v>12.641975308641975</v>
      </c>
      <c r="T6">
        <f t="shared" ref="T6:T11" si="1">M6/S6</f>
        <v>566.50245117187501</v>
      </c>
      <c r="V6">
        <v>15</v>
      </c>
      <c r="W6">
        <v>566.50245117187501</v>
      </c>
      <c r="AA6" t="s">
        <v>41</v>
      </c>
      <c r="AB6">
        <v>200</v>
      </c>
      <c r="AC6">
        <v>2.8</v>
      </c>
      <c r="AD6">
        <v>60</v>
      </c>
      <c r="AE6">
        <v>200</v>
      </c>
      <c r="AF6" t="s">
        <v>37</v>
      </c>
      <c r="AG6">
        <v>1.6667000000000001E-2</v>
      </c>
      <c r="AH6">
        <v>3991</v>
      </c>
      <c r="AI6">
        <v>5520</v>
      </c>
      <c r="AJ6">
        <v>8454</v>
      </c>
      <c r="AK6">
        <v>6684</v>
      </c>
      <c r="AL6">
        <v>4583</v>
      </c>
      <c r="AM6">
        <v>6973.7160000000003</v>
      </c>
      <c r="AN6">
        <v>195</v>
      </c>
      <c r="AO6">
        <v>165</v>
      </c>
      <c r="AP6">
        <v>115</v>
      </c>
      <c r="AQ6">
        <v>168.27</v>
      </c>
      <c r="AS6">
        <f>$AC$3^2/AC6^2</f>
        <v>32.653061224489804</v>
      </c>
      <c r="AT6">
        <f>AM6/AS6</f>
        <v>213.57005249999995</v>
      </c>
      <c r="AW6">
        <v>213.57005249999995</v>
      </c>
    </row>
    <row r="7" spans="1:49" x14ac:dyDescent="0.2">
      <c r="A7" t="s">
        <v>30</v>
      </c>
      <c r="B7">
        <v>100</v>
      </c>
      <c r="C7">
        <v>3.2</v>
      </c>
      <c r="D7">
        <v>30</v>
      </c>
      <c r="E7">
        <v>100</v>
      </c>
      <c r="F7" t="s">
        <v>31</v>
      </c>
      <c r="G7">
        <v>3.3333000000000002E-2</v>
      </c>
      <c r="H7">
        <v>3991</v>
      </c>
      <c r="I7">
        <v>5520</v>
      </c>
      <c r="J7">
        <v>8163</v>
      </c>
      <c r="K7">
        <v>6524</v>
      </c>
      <c r="L7">
        <v>4291</v>
      </c>
      <c r="M7">
        <v>6759.4989999999998</v>
      </c>
      <c r="N7">
        <v>192</v>
      </c>
      <c r="O7">
        <v>165</v>
      </c>
      <c r="P7">
        <v>109</v>
      </c>
      <c r="Q7">
        <v>166.68899999999999</v>
      </c>
      <c r="S7">
        <f>$AC$3^2/C7^2</f>
        <v>24.999999999999996</v>
      </c>
      <c r="T7">
        <f>M7/S7</f>
        <v>270.37996000000004</v>
      </c>
      <c r="V7">
        <v>30</v>
      </c>
      <c r="W7">
        <v>270.37996000000004</v>
      </c>
      <c r="AA7" t="s">
        <v>42</v>
      </c>
      <c r="AB7">
        <v>400</v>
      </c>
      <c r="AC7">
        <v>8</v>
      </c>
      <c r="AD7">
        <v>60</v>
      </c>
      <c r="AE7">
        <v>400</v>
      </c>
      <c r="AF7" t="s">
        <v>37</v>
      </c>
      <c r="AG7">
        <v>1.6667000000000001E-2</v>
      </c>
      <c r="AH7">
        <v>3991</v>
      </c>
      <c r="AI7">
        <v>5520</v>
      </c>
      <c r="AJ7">
        <v>10896</v>
      </c>
      <c r="AK7">
        <v>8704</v>
      </c>
      <c r="AL7">
        <v>5880</v>
      </c>
      <c r="AM7">
        <v>9037.4719999999998</v>
      </c>
      <c r="AN7">
        <v>194</v>
      </c>
      <c r="AO7">
        <v>166</v>
      </c>
      <c r="AP7">
        <v>113</v>
      </c>
      <c r="AQ7">
        <v>168.33</v>
      </c>
      <c r="AS7">
        <f>$AC$3^2/AC7^2</f>
        <v>4</v>
      </c>
      <c r="AT7">
        <f>AM7/AS7</f>
        <v>2259.3679999999999</v>
      </c>
      <c r="AW7">
        <v>2259.3679999999999</v>
      </c>
    </row>
    <row r="8" spans="1:49" x14ac:dyDescent="0.2">
      <c r="A8" t="s">
        <v>36</v>
      </c>
      <c r="B8">
        <v>100</v>
      </c>
      <c r="C8">
        <v>2.2000000000000002</v>
      </c>
      <c r="D8">
        <v>60</v>
      </c>
      <c r="E8">
        <v>100</v>
      </c>
      <c r="F8" t="s">
        <v>37</v>
      </c>
      <c r="G8">
        <v>1.6667000000000001E-2</v>
      </c>
      <c r="H8">
        <v>3991</v>
      </c>
      <c r="I8">
        <v>5520</v>
      </c>
      <c r="J8">
        <v>7719</v>
      </c>
      <c r="K8">
        <v>6192</v>
      </c>
      <c r="L8">
        <v>4121</v>
      </c>
      <c r="M8">
        <v>6412.4790000000003</v>
      </c>
      <c r="N8">
        <v>184</v>
      </c>
      <c r="O8">
        <v>158</v>
      </c>
      <c r="P8">
        <v>105</v>
      </c>
      <c r="Q8">
        <v>159.732</v>
      </c>
      <c r="S8">
        <f>$AC$3^2/C8^2</f>
        <v>52.892561983471069</v>
      </c>
      <c r="T8">
        <f>M8/S8</f>
        <v>121.23593109375001</v>
      </c>
      <c r="V8">
        <v>60</v>
      </c>
      <c r="W8">
        <v>121.23593109375001</v>
      </c>
      <c r="AA8" t="s">
        <v>43</v>
      </c>
      <c r="AB8">
        <v>800</v>
      </c>
      <c r="AC8">
        <v>5.6</v>
      </c>
      <c r="AD8">
        <v>60</v>
      </c>
      <c r="AE8">
        <v>800</v>
      </c>
      <c r="AF8" t="s">
        <v>37</v>
      </c>
      <c r="AG8">
        <v>1.6667000000000001E-2</v>
      </c>
      <c r="AH8">
        <v>3991</v>
      </c>
      <c r="AI8">
        <v>5520</v>
      </c>
      <c r="AJ8">
        <v>11230</v>
      </c>
      <c r="AK8">
        <v>9316</v>
      </c>
      <c r="AL8">
        <v>6191</v>
      </c>
      <c r="AM8">
        <v>9532.0360000000001</v>
      </c>
      <c r="AN8">
        <v>185</v>
      </c>
      <c r="AO8">
        <v>164</v>
      </c>
      <c r="AP8">
        <v>109</v>
      </c>
      <c r="AQ8">
        <v>164.00899999999999</v>
      </c>
      <c r="AS8">
        <f>$AC$3^2/AC8^2</f>
        <v>8.1632653061224509</v>
      </c>
      <c r="AT8">
        <f>AM8/AS8</f>
        <v>1167.6744099999996</v>
      </c>
      <c r="AW8">
        <v>1167.6744099999996</v>
      </c>
    </row>
    <row r="9" spans="1:49" x14ac:dyDescent="0.2">
      <c r="A9" t="s">
        <v>22</v>
      </c>
      <c r="B9">
        <v>100</v>
      </c>
      <c r="C9">
        <v>1.8</v>
      </c>
      <c r="D9">
        <v>125</v>
      </c>
      <c r="E9">
        <v>100</v>
      </c>
      <c r="F9" t="s">
        <v>23</v>
      </c>
      <c r="G9">
        <v>8.0000000000000002E-3</v>
      </c>
      <c r="H9">
        <v>3991</v>
      </c>
      <c r="I9">
        <v>5520</v>
      </c>
      <c r="J9">
        <v>4509</v>
      </c>
      <c r="K9">
        <v>3484</v>
      </c>
      <c r="L9">
        <v>2328</v>
      </c>
      <c r="M9">
        <v>3658.6909999999998</v>
      </c>
      <c r="N9">
        <v>173</v>
      </c>
      <c r="O9">
        <v>144</v>
      </c>
      <c r="P9">
        <v>96</v>
      </c>
      <c r="Q9">
        <v>147.19900000000001</v>
      </c>
      <c r="S9">
        <f>$AC$3^2/C9^2</f>
        <v>79.012345679012341</v>
      </c>
      <c r="T9">
        <f>M9/S9</f>
        <v>46.30530796875</v>
      </c>
      <c r="V9">
        <v>125</v>
      </c>
      <c r="W9">
        <v>46.30530796875</v>
      </c>
    </row>
    <row r="10" spans="1:49" x14ac:dyDescent="0.2">
      <c r="A10" t="s">
        <v>28</v>
      </c>
      <c r="B10">
        <v>100</v>
      </c>
      <c r="C10">
        <v>1.8</v>
      </c>
      <c r="D10">
        <v>250</v>
      </c>
      <c r="E10">
        <v>100</v>
      </c>
      <c r="F10" t="s">
        <v>29</v>
      </c>
      <c r="G10">
        <v>4.0000000000000001E-3</v>
      </c>
      <c r="H10">
        <v>3991</v>
      </c>
      <c r="I10">
        <v>5520</v>
      </c>
      <c r="J10">
        <v>2166</v>
      </c>
      <c r="K10">
        <v>1708</v>
      </c>
      <c r="L10">
        <v>1089</v>
      </c>
      <c r="M10">
        <v>1774.376</v>
      </c>
      <c r="N10">
        <v>169</v>
      </c>
      <c r="O10">
        <v>144</v>
      </c>
      <c r="P10">
        <v>91</v>
      </c>
      <c r="Q10">
        <v>145.43299999999999</v>
      </c>
      <c r="S10">
        <f>$AC$3^2/C10^2</f>
        <v>79.012345679012341</v>
      </c>
      <c r="T10">
        <f>M10/S10</f>
        <v>22.456946250000001</v>
      </c>
      <c r="V10">
        <v>250</v>
      </c>
      <c r="W10">
        <v>22.456946250000001</v>
      </c>
    </row>
    <row r="11" spans="1:49" x14ac:dyDescent="0.2">
      <c r="A11" t="s">
        <v>34</v>
      </c>
      <c r="B11">
        <v>100</v>
      </c>
      <c r="C11">
        <v>1.8</v>
      </c>
      <c r="D11">
        <v>500</v>
      </c>
      <c r="E11">
        <v>100</v>
      </c>
      <c r="F11" t="s">
        <v>35</v>
      </c>
      <c r="G11">
        <v>2E-3</v>
      </c>
      <c r="H11">
        <v>3991</v>
      </c>
      <c r="I11">
        <v>5520</v>
      </c>
      <c r="J11">
        <v>1141</v>
      </c>
      <c r="K11">
        <v>924</v>
      </c>
      <c r="L11">
        <v>616</v>
      </c>
      <c r="M11">
        <v>953.77099999999996</v>
      </c>
      <c r="N11">
        <v>173</v>
      </c>
      <c r="O11">
        <v>150</v>
      </c>
      <c r="P11">
        <v>100</v>
      </c>
      <c r="Q11">
        <v>151.17699999999999</v>
      </c>
      <c r="S11">
        <f>$AC$3^2/C11^2</f>
        <v>79.012345679012341</v>
      </c>
      <c r="T11">
        <f t="shared" si="1"/>
        <v>12.071164218750001</v>
      </c>
      <c r="V11">
        <v>500</v>
      </c>
      <c r="W11">
        <v>12.071164218750001</v>
      </c>
    </row>
    <row r="12" spans="1:49" x14ac:dyDescent="0.2">
      <c r="A12" t="s">
        <v>20</v>
      </c>
      <c r="B12">
        <v>100</v>
      </c>
      <c r="C12">
        <v>1.8</v>
      </c>
      <c r="D12">
        <v>1000</v>
      </c>
      <c r="E12">
        <v>100</v>
      </c>
      <c r="F12" t="s">
        <v>21</v>
      </c>
      <c r="G12">
        <v>1E-3</v>
      </c>
      <c r="H12">
        <v>3991</v>
      </c>
      <c r="I12">
        <v>5520</v>
      </c>
      <c r="J12">
        <v>559</v>
      </c>
      <c r="K12">
        <v>444</v>
      </c>
      <c r="L12">
        <v>274</v>
      </c>
      <c r="M12">
        <v>459.005</v>
      </c>
      <c r="N12">
        <v>167</v>
      </c>
      <c r="O12">
        <v>143</v>
      </c>
      <c r="P12">
        <v>87</v>
      </c>
      <c r="Q12">
        <v>143.792</v>
      </c>
      <c r="S12">
        <f>$AC$3^2/C12^2</f>
        <v>79.012345679012341</v>
      </c>
      <c r="T12">
        <f t="shared" ref="T12" si="2">M12/S12</f>
        <v>5.8092820312500004</v>
      </c>
      <c r="V12">
        <v>1000</v>
      </c>
      <c r="W12">
        <v>5.8092820312500004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non_dsc_shutter_rgb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江頭　慧</dc:creator>
  <cp:lastModifiedBy>江頭　慧</cp:lastModifiedBy>
  <dcterms:created xsi:type="dcterms:W3CDTF">2026-04-11T13:40:50Z</dcterms:created>
  <dcterms:modified xsi:type="dcterms:W3CDTF">2026-04-13T02:02:58Z</dcterms:modified>
</cp:coreProperties>
</file>